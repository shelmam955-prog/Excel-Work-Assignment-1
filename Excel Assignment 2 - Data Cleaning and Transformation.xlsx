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excel works\"/>
    </mc:Choice>
  </mc:AlternateContent>
  <xr:revisionPtr revIDLastSave="0" documentId="13_ncr:1_{C1C78A2F-044A-46DF-94E2-9321FD40C3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Q5" i="2" l="1"/>
  <c r="Q6" i="2"/>
  <c r="Q7" i="2"/>
  <c r="Q8" i="2"/>
  <c r="Q9" i="2"/>
  <c r="Q10" i="2"/>
  <c r="Q11" i="2"/>
  <c r="Q12" i="2"/>
  <c r="Q13" i="2"/>
  <c r="Q14" i="2"/>
  <c r="Q19" i="2"/>
  <c r="Q20" i="2"/>
  <c r="Q21" i="2"/>
  <c r="Q22" i="2"/>
  <c r="Q23" i="2"/>
  <c r="Q24" i="2"/>
  <c r="Q25" i="2"/>
  <c r="Q26" i="2"/>
  <c r="Q31" i="2"/>
  <c r="Q32" i="2"/>
  <c r="Q33" i="2"/>
  <c r="Q2" i="2"/>
  <c r="Q3" i="2"/>
  <c r="Q4" i="2"/>
  <c r="Q15" i="2"/>
  <c r="Q16" i="2"/>
  <c r="Q17" i="2"/>
  <c r="Q18" i="2"/>
  <c r="Q27" i="2"/>
  <c r="Q28" i="2"/>
  <c r="Q29" i="2"/>
  <c r="Q3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2" i="2"/>
  <c r="D3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2" i="2"/>
  <c r="G24" i="2"/>
  <c r="G25" i="2"/>
  <c r="G26" i="2"/>
  <c r="G27" i="2"/>
  <c r="G28" i="2"/>
  <c r="G29" i="2"/>
  <c r="G30" i="2"/>
  <c r="G31" i="2"/>
  <c r="G32" i="2"/>
  <c r="G3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" i="2" l="1"/>
</calcChain>
</file>

<file path=xl/sharedStrings.xml><?xml version="1.0" encoding="utf-8"?>
<sst xmlns="http://schemas.openxmlformats.org/spreadsheetml/2006/main" count="380" uniqueCount="166">
  <si>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</si>
  <si>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</si>
  <si>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</si>
  <si>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</si>
  <si>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</si>
  <si>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</si>
  <si>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</si>
  <si>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</si>
  <si>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</si>
  <si>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</si>
  <si>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</si>
  <si>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</si>
  <si>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</si>
  <si>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</si>
  <si>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</si>
  <si>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</si>
  <si>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</si>
  <si>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</si>
  <si>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</si>
  <si>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</si>
  <si>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</si>
  <si>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</si>
  <si>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</si>
  <si>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</si>
  <si>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</si>
  <si>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</si>
  <si>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</si>
  <si>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</si>
  <si>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</si>
  <si>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</si>
  <si>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</si>
  <si>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</si>
  <si>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</si>
  <si>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</si>
  <si>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</si>
  <si>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</si>
  <si>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</si>
  <si>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</si>
  <si>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</si>
  <si>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</si>
  <si>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</si>
  <si>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</si>
  <si>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</si>
  <si>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</si>
  <si>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</si>
  <si>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</si>
  <si>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</si>
  <si>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</si>
  <si>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</si>
  <si>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</si>
  <si>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</si>
  <si>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</si>
  <si>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</si>
  <si>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</si>
  <si>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</si>
  <si>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</si>
  <si>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</si>
  <si>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</si>
  <si>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</si>
  <si>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</si>
  <si>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</si>
  <si>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</si>
  <si>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</si>
  <si>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</si>
  <si>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</si>
  <si>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</si>
  <si>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</si>
  <si>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</si>
  <si>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</si>
  <si>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</si>
  <si>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</si>
  <si>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</si>
  <si>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</si>
  <si>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</si>
  <si>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</si>
  <si>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</si>
  <si>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</si>
  <si>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</si>
  <si>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</si>
  <si>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</si>
  <si>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</si>
  <si>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</si>
  <si>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</si>
  <si>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</si>
  <si>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</si>
  <si>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</si>
  <si>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</si>
  <si>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</si>
  <si>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</si>
  <si>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</si>
  <si>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</si>
  <si>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</si>
  <si>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</si>
  <si>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</si>
  <si>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</si>
  <si>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</si>
  <si>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</si>
  <si>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</si>
  <si>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</si>
  <si>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</si>
  <si>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</si>
  <si>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</si>
  <si>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</si>
  <si>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</si>
  <si>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</si>
  <si>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</si>
  <si>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</si>
  <si>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</si>
  <si>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</si>
  <si>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</si>
  <si>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</si>
  <si>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</si>
  <si>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</si>
  <si>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</si>
  <si>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</si>
  <si>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Check for missing values</t>
  </si>
  <si>
    <t>imputed price</t>
  </si>
  <si>
    <t>Imputed category</t>
  </si>
  <si>
    <t>Corrected product names</t>
  </si>
  <si>
    <t>Corrected category names</t>
  </si>
  <si>
    <t>Product ID+A1:K30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</si>
  <si>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</si>
  <si>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</si>
  <si>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</si>
  <si>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</si>
  <si>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</si>
  <si>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</si>
  <si>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</si>
  <si>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</si>
  <si>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</si>
  <si>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</si>
  <si>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</si>
  <si>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</si>
  <si>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</si>
  <si>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</si>
  <si>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</si>
  <si>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</si>
  <si>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</si>
  <si>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</si>
  <si>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</si>
  <si>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</si>
  <si>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</si>
  <si>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</si>
  <si>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</si>
  <si>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</si>
  <si>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</si>
  <si>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</si>
  <si>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inconsistent capitalisation</t>
  </si>
  <si>
    <t>misspelled(Electroni is replaced with Electronics)</t>
  </si>
  <si>
    <t xml:space="preserve"> Date</t>
  </si>
  <si>
    <t>Product id</t>
  </si>
  <si>
    <t>Product brand</t>
  </si>
  <si>
    <t>Price(currency format)</t>
  </si>
  <si>
    <t>DD-MM-YY Format</t>
  </si>
  <si>
    <t>flashfill</t>
  </si>
  <si>
    <t>home-select currency</t>
  </si>
  <si>
    <t xml:space="preserve"> Using ISBLANK function first checked whether a value is available or not.Then created a seperate column named Imputed Price and then imputed with the average value in the missing columns.</t>
  </si>
  <si>
    <t>Created a separate column named Imputed category and then imputed the missing values with "no value" using ISBLANK function OR go to home tab-find and select-go to special-blanks-type no value in one cell and then press control+enter.</t>
  </si>
  <si>
    <t>Created a separate column named corrected product names and then corrected the items.Home-find and select-replace(Find what and Replace with) OR use proper Function</t>
  </si>
  <si>
    <t>Home-find and select-replace</t>
  </si>
  <si>
    <t>Select the dataset-Data Tab-remove duplicates-ok</t>
  </si>
  <si>
    <t>MONTHS</t>
  </si>
  <si>
    <t>Data tab-text to columns-select delimiter-finish.Created two separate columns for manufacturing date and country code.</t>
  </si>
  <si>
    <t>Used CONCATENATE Function</t>
  </si>
  <si>
    <t>Home-Conditional formatting-Data bars.</t>
  </si>
  <si>
    <t>Home-Conditional formatting-New RULE-Create a formula to determine which cell to format-apply the formula-ok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</si>
</sst>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10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C1" workbookViewId="0">
      <selection activeCell="C5" sqref="C5:K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zoomScaleNormal="100" workbookViewId="0">
      <selection activeCell="U15" sqref="U15"/>
    </sheetView>
  </sheetViews>
  <sheetFormatPr defaultColWidth="12.6640625" defaultRowHeight="15" customHeight="1" x14ac:dyDescent="0.25"/>
  <cols>
    <col min="1" max="1" width="18.77734375" customWidth="1"/>
    <col min="2" max="2" width="15.5546875" customWidth="1"/>
    <col min="3" max="5" width="12.6640625" customWidth="1"/>
    <col min="6" max="6" width="13.109375" customWidth="1"/>
    <col min="7" max="7" width="25.33203125" customWidth="1"/>
    <col min="8" max="8" width="15.5546875" customWidth="1"/>
    <col min="9" max="9" width="21" customWidth="1"/>
    <col min="10" max="10" width="28.5546875" customWidth="1"/>
    <col min="11" max="11" width="27.5546875" customWidth="1"/>
    <col min="12" max="12" width="23.44140625" customWidth="1"/>
    <col min="13" max="13" width="15.88671875" customWidth="1"/>
    <col min="14" max="14" width="23.44140625" customWidth="1"/>
    <col min="15" max="15" width="22.5546875" customWidth="1"/>
    <col min="17" max="17" width="22.33203125" customWidth="1"/>
    <col min="18" max="18" width="23.33203125" customWidth="1"/>
    <col min="19" max="19" width="17.88671875" customWidth="1"/>
  </cols>
  <sheetData>
    <row r="1" spans="1:21" ht="15.75" customHeight="1" x14ac:dyDescent="0.25">
      <c r="A1" s="7" t="s">
        <v>120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115</v>
      </c>
      <c r="H1" s="7" t="s">
        <v>116</v>
      </c>
      <c r="I1" s="7" t="s">
        <v>117</v>
      </c>
      <c r="J1" s="7" t="s">
        <v>118</v>
      </c>
      <c r="K1" s="7" t="s">
        <v>119</v>
      </c>
      <c r="L1" s="7" t="s">
        <v>150</v>
      </c>
      <c r="M1" s="7" t="s">
        <v>149</v>
      </c>
      <c r="N1" s="7" t="s">
        <v>161</v>
      </c>
      <c r="O1" s="7" t="s">
        <v>145</v>
      </c>
      <c r="P1" s="7" t="s">
        <v>146</v>
      </c>
      <c r="Q1" s="9" t="s">
        <v>151</v>
      </c>
      <c r="R1" s="9" t="s">
        <v>152</v>
      </c>
      <c r="S1" s="9" t="s">
        <v>153</v>
      </c>
    </row>
    <row r="2" spans="1:21" ht="15.75" customHeight="1" x14ac:dyDescent="0.25">
      <c r="A2" s="15" t="s">
        <v>24</v>
      </c>
      <c r="B2" s="15" t="s">
        <v>25</v>
      </c>
      <c r="C2" s="15" t="s">
        <v>26</v>
      </c>
      <c r="D2" s="15">
        <v>1000</v>
      </c>
      <c r="E2" s="15">
        <v>30</v>
      </c>
      <c r="F2" s="15" t="s">
        <v>27</v>
      </c>
      <c r="G2" s="8" t="str">
        <f t="shared" ref="G2:G33" si="0">IF(ISBLANK(D2),"Missing","Available")</f>
        <v>Available</v>
      </c>
      <c r="H2" s="8">
        <f t="shared" ref="H2:H33" si="1">IF(ISBLANK(D2),AVERAGE($D$2:$D$35),D2)</f>
        <v>1000</v>
      </c>
      <c r="I2" s="8" t="str">
        <f t="shared" ref="I2:I33" si="2">IF(ISBLANK(F2),"no value",F2)</f>
        <v>Electronics</v>
      </c>
      <c r="J2" s="15" t="s">
        <v>60</v>
      </c>
      <c r="K2" s="15" t="s">
        <v>27</v>
      </c>
      <c r="L2" s="15" t="s">
        <v>24</v>
      </c>
      <c r="M2" s="16">
        <v>28</v>
      </c>
      <c r="N2" s="16" t="s">
        <v>121</v>
      </c>
      <c r="O2" s="21" t="str">
        <f t="shared" ref="O2:O33" si="3">CONCATENATE(M2,"-",N2)</f>
        <v>28-JAN</v>
      </c>
      <c r="P2" s="17" t="s">
        <v>122</v>
      </c>
      <c r="Q2" s="8" t="str">
        <f>CONCATENATE(J2," ",C2)</f>
        <v>Laptop Dell</v>
      </c>
      <c r="R2" s="10">
        <v>1000</v>
      </c>
      <c r="S2" s="13">
        <v>46050</v>
      </c>
    </row>
    <row r="3" spans="1:21" ht="15.75" customHeight="1" x14ac:dyDescent="0.3">
      <c r="A3" s="18" t="s">
        <v>28</v>
      </c>
      <c r="B3" s="18" t="s">
        <v>29</v>
      </c>
      <c r="C3" s="18" t="s">
        <v>30</v>
      </c>
      <c r="D3" s="18">
        <v>80</v>
      </c>
      <c r="E3" s="18">
        <v>15</v>
      </c>
      <c r="F3" s="18" t="s">
        <v>31</v>
      </c>
      <c r="G3" s="8" t="str">
        <f t="shared" si="0"/>
        <v>Available</v>
      </c>
      <c r="H3" s="8">
        <f t="shared" si="1"/>
        <v>80</v>
      </c>
      <c r="I3" s="8" t="str">
        <f t="shared" si="2"/>
        <v>Fashion</v>
      </c>
      <c r="J3" s="18" t="s">
        <v>29</v>
      </c>
      <c r="K3" s="18" t="s">
        <v>31</v>
      </c>
      <c r="L3" s="18" t="s">
        <v>28</v>
      </c>
      <c r="M3" s="19">
        <v>15</v>
      </c>
      <c r="N3" s="19" t="s">
        <v>123</v>
      </c>
      <c r="O3" s="21" t="str">
        <f t="shared" si="3"/>
        <v>15-FEB</v>
      </c>
      <c r="P3" s="20" t="s">
        <v>122</v>
      </c>
      <c r="Q3" s="8" t="str">
        <f t="shared" ref="Q3:Q33" si="4">CONCATENATE(J3," ",C3)</f>
        <v>Sneakers Nike</v>
      </c>
      <c r="R3" s="11">
        <v>80</v>
      </c>
      <c r="S3" s="13">
        <v>46068</v>
      </c>
      <c r="T3" s="5"/>
      <c r="U3" s="5"/>
    </row>
    <row r="4" spans="1:21" ht="15.75" customHeight="1" x14ac:dyDescent="0.25">
      <c r="A4" s="15" t="s">
        <v>32</v>
      </c>
      <c r="B4" s="15" t="s">
        <v>33</v>
      </c>
      <c r="C4" s="15" t="s">
        <v>34</v>
      </c>
      <c r="D4" s="15">
        <v>130</v>
      </c>
      <c r="E4" s="15">
        <v>40</v>
      </c>
      <c r="F4" s="15" t="s">
        <v>35</v>
      </c>
      <c r="G4" s="8" t="str">
        <f t="shared" si="0"/>
        <v>Available</v>
      </c>
      <c r="H4" s="8">
        <f t="shared" si="1"/>
        <v>130</v>
      </c>
      <c r="I4" s="8" t="str">
        <f t="shared" si="2"/>
        <v>Kitchen</v>
      </c>
      <c r="J4" s="15" t="s">
        <v>33</v>
      </c>
      <c r="K4" s="15" t="s">
        <v>35</v>
      </c>
      <c r="L4" s="15" t="s">
        <v>32</v>
      </c>
      <c r="M4" s="16">
        <v>3</v>
      </c>
      <c r="N4" s="16" t="s">
        <v>124</v>
      </c>
      <c r="O4" s="21" t="str">
        <f t="shared" si="3"/>
        <v>3-MAR</v>
      </c>
      <c r="P4" s="17" t="s">
        <v>122</v>
      </c>
      <c r="Q4" s="8" t="str">
        <f t="shared" si="4"/>
        <v>Coffee Maker Keurig</v>
      </c>
      <c r="R4" s="10">
        <v>130</v>
      </c>
      <c r="S4" s="13">
        <v>46084</v>
      </c>
    </row>
    <row r="5" spans="1:21" ht="15.75" customHeight="1" x14ac:dyDescent="0.3">
      <c r="A5" s="18" t="s">
        <v>36</v>
      </c>
      <c r="B5" s="18" t="s">
        <v>37</v>
      </c>
      <c r="C5" s="18" t="s">
        <v>38</v>
      </c>
      <c r="D5" s="18">
        <v>900</v>
      </c>
      <c r="E5" s="18">
        <v>25</v>
      </c>
      <c r="F5" s="18" t="s">
        <v>27</v>
      </c>
      <c r="G5" s="8" t="str">
        <f t="shared" si="0"/>
        <v>Available</v>
      </c>
      <c r="H5" s="8">
        <f t="shared" si="1"/>
        <v>900</v>
      </c>
      <c r="I5" s="8" t="str">
        <f t="shared" si="2"/>
        <v>Electronics</v>
      </c>
      <c r="J5" s="18" t="s">
        <v>37</v>
      </c>
      <c r="K5" s="18" t="s">
        <v>27</v>
      </c>
      <c r="L5" s="18" t="s">
        <v>36</v>
      </c>
      <c r="M5" s="19">
        <v>11</v>
      </c>
      <c r="N5" s="19" t="s">
        <v>125</v>
      </c>
      <c r="O5" s="21" t="str">
        <f t="shared" si="3"/>
        <v>11-APR</v>
      </c>
      <c r="P5" s="20" t="s">
        <v>122</v>
      </c>
      <c r="Q5" s="8" t="str">
        <f t="shared" si="4"/>
        <v>smartphone Samsung</v>
      </c>
      <c r="R5" s="11">
        <v>900</v>
      </c>
      <c r="S5" s="13">
        <v>46123</v>
      </c>
    </row>
    <row r="6" spans="1:21" ht="15.75" customHeight="1" x14ac:dyDescent="0.3">
      <c r="A6" s="15" t="s">
        <v>39</v>
      </c>
      <c r="B6" s="15" t="s">
        <v>40</v>
      </c>
      <c r="C6" s="15" t="s">
        <v>41</v>
      </c>
      <c r="D6" s="15">
        <v>70</v>
      </c>
      <c r="E6" s="15">
        <v>20</v>
      </c>
      <c r="F6" s="15"/>
      <c r="G6" s="8" t="str">
        <f t="shared" si="0"/>
        <v>Available</v>
      </c>
      <c r="H6" s="8">
        <f t="shared" si="1"/>
        <v>70</v>
      </c>
      <c r="I6" s="8" t="str">
        <f t="shared" si="2"/>
        <v>no value</v>
      </c>
      <c r="J6" s="15" t="s">
        <v>40</v>
      </c>
      <c r="K6" s="15"/>
      <c r="L6" s="15" t="s">
        <v>39</v>
      </c>
      <c r="M6" s="16">
        <v>22</v>
      </c>
      <c r="N6" s="16" t="s">
        <v>126</v>
      </c>
      <c r="O6" s="21" t="str">
        <f t="shared" si="3"/>
        <v>22-MAY</v>
      </c>
      <c r="P6" s="17" t="s">
        <v>122</v>
      </c>
      <c r="Q6" s="8" t="str">
        <f t="shared" si="4"/>
        <v>Backpack North Face</v>
      </c>
      <c r="R6" s="10">
        <v>70</v>
      </c>
      <c r="S6" s="13">
        <v>46164</v>
      </c>
      <c r="U6" s="3"/>
    </row>
    <row r="7" spans="1:21" ht="15.75" customHeight="1" x14ac:dyDescent="0.3">
      <c r="A7" s="18" t="s">
        <v>42</v>
      </c>
      <c r="B7" s="18" t="s">
        <v>43</v>
      </c>
      <c r="C7" s="18" t="s">
        <v>44</v>
      </c>
      <c r="D7" s="18"/>
      <c r="E7" s="18">
        <v>45</v>
      </c>
      <c r="F7" s="18" t="s">
        <v>45</v>
      </c>
      <c r="G7" s="8" t="str">
        <f t="shared" si="0"/>
        <v>Missing</v>
      </c>
      <c r="H7" s="8">
        <f t="shared" si="1"/>
        <v>296.20689655172413</v>
      </c>
      <c r="I7" s="8" t="str">
        <f t="shared" si="2"/>
        <v>Electroni</v>
      </c>
      <c r="J7" s="18" t="s">
        <v>43</v>
      </c>
      <c r="K7" s="18" t="s">
        <v>27</v>
      </c>
      <c r="L7" s="18" t="s">
        <v>42</v>
      </c>
      <c r="M7" s="19">
        <v>7</v>
      </c>
      <c r="N7" s="19" t="s">
        <v>127</v>
      </c>
      <c r="O7" s="21" t="str">
        <f t="shared" si="3"/>
        <v>7-JUN</v>
      </c>
      <c r="P7" s="20" t="s">
        <v>128</v>
      </c>
      <c r="Q7" s="8" t="str">
        <f t="shared" si="4"/>
        <v>Headphones Sony</v>
      </c>
      <c r="R7" s="12">
        <v>296.20689659999999</v>
      </c>
      <c r="S7" s="13">
        <v>46180</v>
      </c>
    </row>
    <row r="8" spans="1:21" ht="15.75" customHeight="1" x14ac:dyDescent="0.25">
      <c r="A8" s="15" t="s">
        <v>46</v>
      </c>
      <c r="B8" s="15" t="s">
        <v>47</v>
      </c>
      <c r="C8" s="15" t="s">
        <v>48</v>
      </c>
      <c r="D8" s="15">
        <v>30</v>
      </c>
      <c r="E8" s="15">
        <v>5</v>
      </c>
      <c r="F8" s="15" t="s">
        <v>31</v>
      </c>
      <c r="G8" s="8" t="str">
        <f t="shared" si="0"/>
        <v>Available</v>
      </c>
      <c r="H8" s="8">
        <f t="shared" si="1"/>
        <v>30</v>
      </c>
      <c r="I8" s="8" t="str">
        <f t="shared" si="2"/>
        <v>Fashion</v>
      </c>
      <c r="J8" s="15" t="s">
        <v>47</v>
      </c>
      <c r="K8" s="15" t="s">
        <v>31</v>
      </c>
      <c r="L8" s="15" t="s">
        <v>46</v>
      </c>
      <c r="M8" s="16">
        <v>19</v>
      </c>
      <c r="N8" s="16" t="s">
        <v>129</v>
      </c>
      <c r="O8" s="21" t="str">
        <f t="shared" si="3"/>
        <v>19-JUL</v>
      </c>
      <c r="P8" s="17" t="s">
        <v>128</v>
      </c>
      <c r="Q8" s="8" t="str">
        <f t="shared" si="4"/>
        <v>T-shirt Adidas</v>
      </c>
      <c r="R8" s="10">
        <v>30</v>
      </c>
      <c r="S8" s="13">
        <v>46222</v>
      </c>
    </row>
    <row r="9" spans="1:21" ht="15.75" customHeight="1" x14ac:dyDescent="0.25">
      <c r="A9" s="18" t="s">
        <v>49</v>
      </c>
      <c r="B9" s="18" t="s">
        <v>50</v>
      </c>
      <c r="C9" s="18" t="s">
        <v>51</v>
      </c>
      <c r="D9" s="18">
        <v>90</v>
      </c>
      <c r="E9" s="18">
        <v>35</v>
      </c>
      <c r="F9" s="18" t="s">
        <v>35</v>
      </c>
      <c r="G9" s="8" t="str">
        <f t="shared" si="0"/>
        <v>Available</v>
      </c>
      <c r="H9" s="8">
        <f t="shared" si="1"/>
        <v>90</v>
      </c>
      <c r="I9" s="8" t="str">
        <f t="shared" si="2"/>
        <v>Kitchen</v>
      </c>
      <c r="J9" s="18" t="s">
        <v>50</v>
      </c>
      <c r="K9" s="18" t="s">
        <v>35</v>
      </c>
      <c r="L9" s="18" t="s">
        <v>49</v>
      </c>
      <c r="M9" s="19">
        <v>23</v>
      </c>
      <c r="N9" s="19" t="s">
        <v>130</v>
      </c>
      <c r="O9" s="21" t="str">
        <f t="shared" si="3"/>
        <v>23-AUG</v>
      </c>
      <c r="P9" s="17" t="s">
        <v>128</v>
      </c>
      <c r="Q9" s="8" t="str">
        <f t="shared" si="4"/>
        <v>Blender Ninja</v>
      </c>
      <c r="R9" s="11">
        <v>90</v>
      </c>
      <c r="S9" s="13">
        <v>46257</v>
      </c>
    </row>
    <row r="10" spans="1:21" ht="15.75" customHeight="1" x14ac:dyDescent="0.25">
      <c r="A10" s="15" t="s">
        <v>52</v>
      </c>
      <c r="B10" s="15" t="s">
        <v>53</v>
      </c>
      <c r="C10" s="15" t="s">
        <v>54</v>
      </c>
      <c r="D10" s="15">
        <v>500</v>
      </c>
      <c r="E10" s="15">
        <v>50</v>
      </c>
      <c r="F10" s="15" t="s">
        <v>27</v>
      </c>
      <c r="G10" s="8" t="str">
        <f t="shared" si="0"/>
        <v>Available</v>
      </c>
      <c r="H10" s="8">
        <f t="shared" si="1"/>
        <v>500</v>
      </c>
      <c r="I10" s="8" t="str">
        <f t="shared" si="2"/>
        <v>Electronics</v>
      </c>
      <c r="J10" s="15" t="s">
        <v>53</v>
      </c>
      <c r="K10" s="15" t="s">
        <v>27</v>
      </c>
      <c r="L10" s="15" t="s">
        <v>52</v>
      </c>
      <c r="M10" s="16">
        <v>5</v>
      </c>
      <c r="N10" s="16" t="s">
        <v>131</v>
      </c>
      <c r="O10" s="21" t="str">
        <f t="shared" si="3"/>
        <v>5-SEP</v>
      </c>
      <c r="P10" s="17" t="s">
        <v>128</v>
      </c>
      <c r="Q10" s="8" t="str">
        <f t="shared" si="4"/>
        <v>Tablet Apple</v>
      </c>
      <c r="R10" s="10">
        <v>500</v>
      </c>
      <c r="S10" s="13">
        <v>46270</v>
      </c>
    </row>
    <row r="11" spans="1:21" ht="15.75" customHeight="1" x14ac:dyDescent="0.25">
      <c r="A11" s="18" t="s">
        <v>55</v>
      </c>
      <c r="B11" s="18" t="s">
        <v>56</v>
      </c>
      <c r="C11" s="18" t="s">
        <v>57</v>
      </c>
      <c r="D11" s="18">
        <v>130</v>
      </c>
      <c r="E11" s="18">
        <v>10</v>
      </c>
      <c r="F11" s="18" t="s">
        <v>58</v>
      </c>
      <c r="G11" s="8" t="str">
        <f t="shared" si="0"/>
        <v>Available</v>
      </c>
      <c r="H11" s="8">
        <f t="shared" si="1"/>
        <v>130</v>
      </c>
      <c r="I11" s="8" t="str">
        <f t="shared" si="2"/>
        <v>Outdoor</v>
      </c>
      <c r="J11" s="18" t="s">
        <v>56</v>
      </c>
      <c r="K11" s="18" t="s">
        <v>58</v>
      </c>
      <c r="L11" s="18" t="s">
        <v>55</v>
      </c>
      <c r="M11" s="19">
        <v>14</v>
      </c>
      <c r="N11" s="19" t="s">
        <v>132</v>
      </c>
      <c r="O11" s="21" t="str">
        <f t="shared" si="3"/>
        <v>14-OCT</v>
      </c>
      <c r="P11" s="17" t="s">
        <v>128</v>
      </c>
      <c r="Q11" s="8" t="str">
        <f t="shared" si="4"/>
        <v>Hiking Boots Timberland</v>
      </c>
      <c r="R11" s="11">
        <v>130</v>
      </c>
      <c r="S11" s="13">
        <v>46309</v>
      </c>
    </row>
    <row r="12" spans="1:21" ht="15.75" customHeight="1" x14ac:dyDescent="0.3">
      <c r="A12" s="15" t="s">
        <v>59</v>
      </c>
      <c r="B12" s="15" t="s">
        <v>60</v>
      </c>
      <c r="C12" s="15" t="s">
        <v>61</v>
      </c>
      <c r="D12" s="15">
        <v>950</v>
      </c>
      <c r="E12" s="15">
        <v>25</v>
      </c>
      <c r="F12" s="15" t="s">
        <v>27</v>
      </c>
      <c r="G12" s="8" t="str">
        <f t="shared" si="0"/>
        <v>Available</v>
      </c>
      <c r="H12" s="8">
        <f t="shared" si="1"/>
        <v>950</v>
      </c>
      <c r="I12" s="8" t="str">
        <f t="shared" si="2"/>
        <v>Electronics</v>
      </c>
      <c r="J12" s="15" t="s">
        <v>60</v>
      </c>
      <c r="K12" s="15" t="s">
        <v>27</v>
      </c>
      <c r="L12" s="15" t="s">
        <v>59</v>
      </c>
      <c r="M12" s="16">
        <v>17</v>
      </c>
      <c r="N12" s="16" t="s">
        <v>127</v>
      </c>
      <c r="O12" s="21" t="str">
        <f t="shared" si="3"/>
        <v>17-JUN</v>
      </c>
      <c r="P12" s="20" t="s">
        <v>133</v>
      </c>
      <c r="Q12" s="8" t="str">
        <f t="shared" si="4"/>
        <v>Laptop HP</v>
      </c>
      <c r="R12" s="10">
        <v>950</v>
      </c>
      <c r="S12" s="13">
        <v>46190</v>
      </c>
    </row>
    <row r="13" spans="1:21" ht="15.75" customHeight="1" x14ac:dyDescent="0.25">
      <c r="A13" s="18" t="s">
        <v>62</v>
      </c>
      <c r="B13" s="18" t="s">
        <v>29</v>
      </c>
      <c r="C13" s="18" t="s">
        <v>48</v>
      </c>
      <c r="D13" s="18">
        <v>90</v>
      </c>
      <c r="E13" s="18">
        <v>40</v>
      </c>
      <c r="F13" s="18"/>
      <c r="G13" s="8" t="str">
        <f t="shared" si="0"/>
        <v>Available</v>
      </c>
      <c r="H13" s="8">
        <f t="shared" si="1"/>
        <v>90</v>
      </c>
      <c r="I13" s="8" t="str">
        <f t="shared" si="2"/>
        <v>no value</v>
      </c>
      <c r="J13" s="18" t="s">
        <v>29</v>
      </c>
      <c r="K13" s="18"/>
      <c r="L13" s="18" t="s">
        <v>62</v>
      </c>
      <c r="M13" s="19">
        <v>25</v>
      </c>
      <c r="N13" s="19" t="s">
        <v>134</v>
      </c>
      <c r="O13" s="21" t="str">
        <f t="shared" si="3"/>
        <v>25-NOV</v>
      </c>
      <c r="P13" s="17" t="s">
        <v>135</v>
      </c>
      <c r="Q13" s="8" t="str">
        <f t="shared" si="4"/>
        <v>Sneakers Adidas</v>
      </c>
      <c r="R13" s="11">
        <v>90</v>
      </c>
      <c r="S13" s="13">
        <v>46351</v>
      </c>
    </row>
    <row r="14" spans="1:21" ht="15.75" customHeight="1" x14ac:dyDescent="0.3">
      <c r="A14" s="15" t="s">
        <v>63</v>
      </c>
      <c r="B14" s="15" t="s">
        <v>33</v>
      </c>
      <c r="C14" s="15" t="s">
        <v>64</v>
      </c>
      <c r="D14" s="15">
        <v>120</v>
      </c>
      <c r="E14" s="15">
        <v>35</v>
      </c>
      <c r="F14" s="15"/>
      <c r="G14" s="8" t="str">
        <f t="shared" si="0"/>
        <v>Available</v>
      </c>
      <c r="H14" s="8">
        <f t="shared" si="1"/>
        <v>120</v>
      </c>
      <c r="I14" s="8" t="str">
        <f t="shared" si="2"/>
        <v>no value</v>
      </c>
      <c r="J14" s="15" t="s">
        <v>33</v>
      </c>
      <c r="K14" s="15"/>
      <c r="L14" s="15" t="s">
        <v>63</v>
      </c>
      <c r="M14" s="16">
        <v>8</v>
      </c>
      <c r="N14" s="16" t="s">
        <v>136</v>
      </c>
      <c r="O14" s="21" t="str">
        <f t="shared" si="3"/>
        <v>8-DEC</v>
      </c>
      <c r="P14" s="20" t="s">
        <v>137</v>
      </c>
      <c r="Q14" s="8" t="str">
        <f t="shared" si="4"/>
        <v>Coffee Maker Nespresso</v>
      </c>
      <c r="R14" s="10">
        <v>120</v>
      </c>
      <c r="S14" s="13">
        <v>46364</v>
      </c>
    </row>
    <row r="15" spans="1:21" ht="15.75" customHeight="1" x14ac:dyDescent="0.3">
      <c r="A15" s="18" t="s">
        <v>65</v>
      </c>
      <c r="B15" s="18" t="s">
        <v>66</v>
      </c>
      <c r="C15" s="18" t="s">
        <v>67</v>
      </c>
      <c r="D15" s="18">
        <v>150</v>
      </c>
      <c r="E15" s="18">
        <v>15</v>
      </c>
      <c r="F15" s="18"/>
      <c r="G15" s="8" t="str">
        <f t="shared" si="0"/>
        <v>Available</v>
      </c>
      <c r="H15" s="8">
        <f t="shared" si="1"/>
        <v>150</v>
      </c>
      <c r="I15" s="8" t="str">
        <f t="shared" si="2"/>
        <v>no value</v>
      </c>
      <c r="J15" s="18" t="s">
        <v>66</v>
      </c>
      <c r="K15" s="18"/>
      <c r="L15" s="18" t="s">
        <v>65</v>
      </c>
      <c r="M15" s="19">
        <v>18</v>
      </c>
      <c r="N15" s="19" t="s">
        <v>123</v>
      </c>
      <c r="O15" s="21" t="str">
        <f t="shared" si="3"/>
        <v>18-FEB</v>
      </c>
      <c r="P15" s="20" t="s">
        <v>138</v>
      </c>
      <c r="Q15" s="8" t="str">
        <f t="shared" si="4"/>
        <v>Smartwatch Fitbit</v>
      </c>
      <c r="R15" s="11">
        <v>150</v>
      </c>
      <c r="S15" s="13">
        <v>46071</v>
      </c>
    </row>
    <row r="16" spans="1:21" ht="15.75" customHeight="1" x14ac:dyDescent="0.3">
      <c r="A16" s="15" t="s">
        <v>68</v>
      </c>
      <c r="B16" s="15" t="s">
        <v>69</v>
      </c>
      <c r="C16" s="15" t="s">
        <v>70</v>
      </c>
      <c r="D16" s="15">
        <v>250</v>
      </c>
      <c r="E16" s="15">
        <v>20</v>
      </c>
      <c r="F16" s="15" t="s">
        <v>45</v>
      </c>
      <c r="G16" s="8" t="str">
        <f t="shared" si="0"/>
        <v>Available</v>
      </c>
      <c r="H16" s="8">
        <f t="shared" si="1"/>
        <v>250</v>
      </c>
      <c r="I16" s="8" t="str">
        <f t="shared" si="2"/>
        <v>Electroni</v>
      </c>
      <c r="J16" s="15" t="s">
        <v>69</v>
      </c>
      <c r="K16" s="15" t="s">
        <v>27</v>
      </c>
      <c r="L16" s="15" t="s">
        <v>68</v>
      </c>
      <c r="M16" s="16">
        <v>16</v>
      </c>
      <c r="N16" s="16" t="s">
        <v>125</v>
      </c>
      <c r="O16" s="21" t="str">
        <f t="shared" si="3"/>
        <v>16-APR</v>
      </c>
      <c r="P16" s="20" t="s">
        <v>139</v>
      </c>
      <c r="Q16" s="8" t="str">
        <f t="shared" si="4"/>
        <v>headphones Bose</v>
      </c>
      <c r="R16" s="10">
        <v>250</v>
      </c>
      <c r="S16" s="13">
        <v>46128</v>
      </c>
    </row>
    <row r="17" spans="1:26" ht="15.75" customHeight="1" x14ac:dyDescent="0.25">
      <c r="A17" s="18" t="s">
        <v>71</v>
      </c>
      <c r="B17" s="18" t="s">
        <v>72</v>
      </c>
      <c r="C17" s="18" t="s">
        <v>73</v>
      </c>
      <c r="D17" s="18">
        <v>50</v>
      </c>
      <c r="E17" s="18">
        <v>35</v>
      </c>
      <c r="F17" s="18" t="s">
        <v>74</v>
      </c>
      <c r="G17" s="8" t="str">
        <f t="shared" si="0"/>
        <v>Available</v>
      </c>
      <c r="H17" s="8">
        <f t="shared" si="1"/>
        <v>50</v>
      </c>
      <c r="I17" s="8" t="str">
        <f t="shared" si="2"/>
        <v>Accessories</v>
      </c>
      <c r="J17" s="18" t="s">
        <v>72</v>
      </c>
      <c r="K17" s="18" t="s">
        <v>74</v>
      </c>
      <c r="L17" s="18" t="s">
        <v>71</v>
      </c>
      <c r="M17" s="19">
        <v>21</v>
      </c>
      <c r="N17" s="19" t="s">
        <v>130</v>
      </c>
      <c r="O17" s="21" t="str">
        <f t="shared" si="3"/>
        <v>21-AUG</v>
      </c>
      <c r="P17" s="17" t="s">
        <v>138</v>
      </c>
      <c r="Q17" s="8" t="str">
        <f t="shared" si="4"/>
        <v>Laptop Bag Samsonite</v>
      </c>
      <c r="R17" s="11">
        <v>50</v>
      </c>
      <c r="S17" s="13">
        <v>46255</v>
      </c>
      <c r="T17" s="5"/>
      <c r="U17" s="5"/>
      <c r="V17" s="5"/>
      <c r="W17" s="5"/>
      <c r="X17" s="5"/>
      <c r="Y17" s="5"/>
      <c r="Z17" s="5"/>
    </row>
    <row r="18" spans="1:26" ht="15.75" customHeight="1" x14ac:dyDescent="0.3">
      <c r="A18" s="15" t="s">
        <v>75</v>
      </c>
      <c r="B18" s="15" t="s">
        <v>66</v>
      </c>
      <c r="C18" s="15" t="s">
        <v>76</v>
      </c>
      <c r="D18" s="15">
        <v>160</v>
      </c>
      <c r="E18" s="15">
        <v>15</v>
      </c>
      <c r="F18" s="15" t="s">
        <v>45</v>
      </c>
      <c r="G18" s="8" t="str">
        <f t="shared" si="0"/>
        <v>Available</v>
      </c>
      <c r="H18" s="8">
        <f t="shared" si="1"/>
        <v>160</v>
      </c>
      <c r="I18" s="8" t="str">
        <f t="shared" si="2"/>
        <v>Electroni</v>
      </c>
      <c r="J18" s="15" t="s">
        <v>66</v>
      </c>
      <c r="K18" s="15" t="s">
        <v>27</v>
      </c>
      <c r="L18" s="15" t="s">
        <v>75</v>
      </c>
      <c r="M18" s="16">
        <v>20</v>
      </c>
      <c r="N18" s="16" t="s">
        <v>130</v>
      </c>
      <c r="O18" s="21" t="str">
        <f t="shared" si="3"/>
        <v>20-AUG</v>
      </c>
      <c r="P18" s="20" t="s">
        <v>140</v>
      </c>
      <c r="Q18" s="8" t="str">
        <f t="shared" si="4"/>
        <v>Smartwatch Huawei</v>
      </c>
      <c r="R18" s="10">
        <v>160</v>
      </c>
      <c r="S18" s="13">
        <v>46254</v>
      </c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18" t="s">
        <v>77</v>
      </c>
      <c r="B19" s="18" t="s">
        <v>25</v>
      </c>
      <c r="C19" s="18" t="s">
        <v>78</v>
      </c>
      <c r="D19" s="18">
        <v>980</v>
      </c>
      <c r="E19" s="18">
        <v>10</v>
      </c>
      <c r="F19" s="18" t="s">
        <v>27</v>
      </c>
      <c r="G19" s="8" t="str">
        <f t="shared" si="0"/>
        <v>Available</v>
      </c>
      <c r="H19" s="8">
        <f t="shared" si="1"/>
        <v>980</v>
      </c>
      <c r="I19" s="8" t="str">
        <f t="shared" si="2"/>
        <v>Electronics</v>
      </c>
      <c r="J19" s="18" t="s">
        <v>60</v>
      </c>
      <c r="K19" s="18" t="s">
        <v>27</v>
      </c>
      <c r="L19" s="18" t="s">
        <v>77</v>
      </c>
      <c r="M19" s="19">
        <v>27</v>
      </c>
      <c r="N19" s="19" t="s">
        <v>121</v>
      </c>
      <c r="O19" s="21" t="str">
        <f t="shared" si="3"/>
        <v>27-JAN</v>
      </c>
      <c r="P19" s="17" t="s">
        <v>141</v>
      </c>
      <c r="Q19" s="8" t="str">
        <f t="shared" si="4"/>
        <v>Laptop Asus</v>
      </c>
      <c r="R19" s="11">
        <v>980</v>
      </c>
      <c r="S19" s="13">
        <v>46049</v>
      </c>
      <c r="T19" s="5"/>
      <c r="U19" s="5"/>
      <c r="V19" s="5"/>
      <c r="W19" s="5"/>
      <c r="X19" s="5"/>
      <c r="Y19" s="5"/>
      <c r="Z19" s="5"/>
    </row>
    <row r="20" spans="1:26" ht="15.75" customHeight="1" x14ac:dyDescent="0.3">
      <c r="A20" s="15" t="s">
        <v>79</v>
      </c>
      <c r="B20" s="15" t="s">
        <v>80</v>
      </c>
      <c r="C20" s="15" t="s">
        <v>81</v>
      </c>
      <c r="D20" s="15">
        <v>150</v>
      </c>
      <c r="E20" s="15">
        <v>15</v>
      </c>
      <c r="F20" s="15" t="s">
        <v>31</v>
      </c>
      <c r="G20" s="8" t="str">
        <f t="shared" si="0"/>
        <v>Available</v>
      </c>
      <c r="H20" s="8">
        <f t="shared" si="1"/>
        <v>150</v>
      </c>
      <c r="I20" s="8" t="str">
        <f t="shared" si="2"/>
        <v>Fashion</v>
      </c>
      <c r="J20" s="15" t="s">
        <v>80</v>
      </c>
      <c r="K20" s="15" t="s">
        <v>31</v>
      </c>
      <c r="L20" s="15" t="s">
        <v>79</v>
      </c>
      <c r="M20" s="16">
        <v>1</v>
      </c>
      <c r="N20" s="16" t="s">
        <v>124</v>
      </c>
      <c r="O20" s="21" t="str">
        <f t="shared" si="3"/>
        <v>1-MAR</v>
      </c>
      <c r="P20" s="20" t="s">
        <v>128</v>
      </c>
      <c r="Q20" s="8" t="str">
        <f t="shared" si="4"/>
        <v>Sunglasses Oakley</v>
      </c>
      <c r="R20" s="10">
        <v>150</v>
      </c>
      <c r="S20" s="13">
        <v>46082</v>
      </c>
    </row>
    <row r="21" spans="1:26" ht="15.75" customHeight="1" x14ac:dyDescent="0.25">
      <c r="A21" s="18" t="s">
        <v>82</v>
      </c>
      <c r="B21" s="18" t="s">
        <v>83</v>
      </c>
      <c r="C21" s="18" t="s">
        <v>84</v>
      </c>
      <c r="D21" s="18"/>
      <c r="E21" s="18">
        <v>10</v>
      </c>
      <c r="F21" s="18" t="s">
        <v>58</v>
      </c>
      <c r="G21" s="8" t="str">
        <f t="shared" si="0"/>
        <v>Missing</v>
      </c>
      <c r="H21" s="8">
        <f t="shared" si="1"/>
        <v>296.20689655172413</v>
      </c>
      <c r="I21" s="8" t="str">
        <f t="shared" si="2"/>
        <v>Outdoor</v>
      </c>
      <c r="J21" s="18" t="s">
        <v>83</v>
      </c>
      <c r="K21" s="18" t="s">
        <v>58</v>
      </c>
      <c r="L21" s="18" t="s">
        <v>82</v>
      </c>
      <c r="M21" s="19">
        <v>14</v>
      </c>
      <c r="N21" s="19" t="s">
        <v>130</v>
      </c>
      <c r="O21" s="21" t="str">
        <f t="shared" si="3"/>
        <v>14-AUG</v>
      </c>
      <c r="P21" s="17" t="s">
        <v>122</v>
      </c>
      <c r="Q21" s="8" t="str">
        <f t="shared" si="4"/>
        <v>Camping Tent Coleman</v>
      </c>
      <c r="R21" s="11">
        <v>296.20689659999999</v>
      </c>
      <c r="S21" s="13">
        <v>46248</v>
      </c>
    </row>
    <row r="22" spans="1:26" ht="15.75" customHeight="1" x14ac:dyDescent="0.3">
      <c r="A22" s="15" t="s">
        <v>85</v>
      </c>
      <c r="B22" s="15" t="s">
        <v>86</v>
      </c>
      <c r="C22" s="15" t="s">
        <v>87</v>
      </c>
      <c r="D22" s="15">
        <v>700</v>
      </c>
      <c r="E22" s="15">
        <v>50</v>
      </c>
      <c r="F22" s="15" t="s">
        <v>27</v>
      </c>
      <c r="G22" s="8" t="str">
        <f t="shared" si="0"/>
        <v>Available</v>
      </c>
      <c r="H22" s="8">
        <f t="shared" si="1"/>
        <v>700</v>
      </c>
      <c r="I22" s="8" t="str">
        <f t="shared" si="2"/>
        <v>Electronics</v>
      </c>
      <c r="J22" s="15" t="s">
        <v>86</v>
      </c>
      <c r="K22" s="15" t="s">
        <v>27</v>
      </c>
      <c r="L22" s="15" t="s">
        <v>85</v>
      </c>
      <c r="M22" s="16">
        <v>14</v>
      </c>
      <c r="N22" s="16" t="s">
        <v>126</v>
      </c>
      <c r="O22" s="21" t="str">
        <f t="shared" si="3"/>
        <v>14-MAY</v>
      </c>
      <c r="P22" s="20" t="s">
        <v>142</v>
      </c>
      <c r="Q22" s="8" t="str">
        <f t="shared" si="4"/>
        <v>Camera Nikon</v>
      </c>
      <c r="R22" s="10">
        <v>700</v>
      </c>
      <c r="S22" s="13">
        <v>46156</v>
      </c>
    </row>
    <row r="23" spans="1:26" ht="15.75" customHeight="1" x14ac:dyDescent="0.3">
      <c r="A23" s="18" t="s">
        <v>88</v>
      </c>
      <c r="B23" s="18" t="s">
        <v>89</v>
      </c>
      <c r="C23" s="18" t="s">
        <v>90</v>
      </c>
      <c r="D23" s="18">
        <v>80</v>
      </c>
      <c r="E23" s="18">
        <v>20</v>
      </c>
      <c r="F23" s="18" t="s">
        <v>35</v>
      </c>
      <c r="G23" s="8" t="str">
        <f t="shared" si="0"/>
        <v>Available</v>
      </c>
      <c r="H23" s="8">
        <f t="shared" si="1"/>
        <v>80</v>
      </c>
      <c r="I23" s="8" t="str">
        <f t="shared" si="2"/>
        <v>Kitchen</v>
      </c>
      <c r="J23" s="18" t="s">
        <v>89</v>
      </c>
      <c r="K23" s="18" t="s">
        <v>35</v>
      </c>
      <c r="L23" s="18" t="s">
        <v>88</v>
      </c>
      <c r="M23" s="19">
        <v>9</v>
      </c>
      <c r="N23" s="19" t="s">
        <v>121</v>
      </c>
      <c r="O23" s="21" t="str">
        <f t="shared" si="3"/>
        <v>9-JAN</v>
      </c>
      <c r="P23" s="20" t="s">
        <v>138</v>
      </c>
      <c r="Q23" s="8" t="str">
        <f t="shared" si="4"/>
        <v>Microwave Panasonic</v>
      </c>
      <c r="R23" s="11">
        <v>80</v>
      </c>
      <c r="S23" s="13">
        <v>46031</v>
      </c>
      <c r="T23" s="5"/>
      <c r="U23" s="5"/>
    </row>
    <row r="24" spans="1:26" ht="15.75" customHeight="1" x14ac:dyDescent="0.25">
      <c r="A24" s="15" t="s">
        <v>91</v>
      </c>
      <c r="B24" s="15" t="s">
        <v>92</v>
      </c>
      <c r="C24" s="15" t="s">
        <v>93</v>
      </c>
      <c r="D24" s="15">
        <v>150</v>
      </c>
      <c r="E24" s="15">
        <v>30</v>
      </c>
      <c r="F24" s="15"/>
      <c r="G24" s="8" t="str">
        <f t="shared" si="0"/>
        <v>Available</v>
      </c>
      <c r="H24" s="8">
        <f t="shared" si="1"/>
        <v>150</v>
      </c>
      <c r="I24" s="8" t="str">
        <f t="shared" si="2"/>
        <v>no value</v>
      </c>
      <c r="J24" s="15" t="s">
        <v>92</v>
      </c>
      <c r="K24" s="15"/>
      <c r="L24" s="15" t="s">
        <v>91</v>
      </c>
      <c r="M24" s="16">
        <v>19</v>
      </c>
      <c r="N24" s="16" t="s">
        <v>129</v>
      </c>
      <c r="O24" s="21" t="str">
        <f t="shared" si="3"/>
        <v>19-JUL</v>
      </c>
      <c r="P24" s="17" t="s">
        <v>143</v>
      </c>
      <c r="Q24" s="8" t="str">
        <f t="shared" si="4"/>
        <v>Fitness Tracker Xiaomi</v>
      </c>
      <c r="R24" s="10">
        <v>150</v>
      </c>
      <c r="S24" s="13">
        <v>46222</v>
      </c>
    </row>
    <row r="25" spans="1:26" ht="15.75" customHeight="1" x14ac:dyDescent="0.25">
      <c r="A25" s="15" t="s">
        <v>94</v>
      </c>
      <c r="B25" s="15" t="s">
        <v>95</v>
      </c>
      <c r="C25" s="15" t="s">
        <v>96</v>
      </c>
      <c r="D25" s="15">
        <v>800</v>
      </c>
      <c r="E25" s="15">
        <v>45</v>
      </c>
      <c r="F25" s="15" t="s">
        <v>27</v>
      </c>
      <c r="G25" s="8" t="str">
        <f t="shared" si="0"/>
        <v>Available</v>
      </c>
      <c r="H25" s="8">
        <f t="shared" si="1"/>
        <v>800</v>
      </c>
      <c r="I25" s="8" t="str">
        <f t="shared" si="2"/>
        <v>Electronics</v>
      </c>
      <c r="J25" s="15" t="s">
        <v>95</v>
      </c>
      <c r="K25" s="15" t="s">
        <v>27</v>
      </c>
      <c r="L25" s="15" t="s">
        <v>94</v>
      </c>
      <c r="M25" s="16">
        <v>29</v>
      </c>
      <c r="N25" s="16" t="s">
        <v>131</v>
      </c>
      <c r="O25" s="21" t="str">
        <f t="shared" si="3"/>
        <v>29-SEP</v>
      </c>
      <c r="P25" s="17" t="s">
        <v>138</v>
      </c>
      <c r="Q25" s="8" t="str">
        <f t="shared" si="4"/>
        <v>Smartphone Google</v>
      </c>
      <c r="R25" s="10">
        <v>800</v>
      </c>
      <c r="S25" s="13">
        <v>46294</v>
      </c>
    </row>
    <row r="26" spans="1:26" ht="15.75" customHeight="1" x14ac:dyDescent="0.25">
      <c r="A26" s="18" t="s">
        <v>97</v>
      </c>
      <c r="B26" s="18" t="s">
        <v>80</v>
      </c>
      <c r="C26" s="18" t="s">
        <v>98</v>
      </c>
      <c r="D26" s="18"/>
      <c r="E26" s="18">
        <v>25</v>
      </c>
      <c r="F26" s="18" t="s">
        <v>31</v>
      </c>
      <c r="G26" s="8" t="str">
        <f t="shared" si="0"/>
        <v>Missing</v>
      </c>
      <c r="H26" s="8">
        <f t="shared" si="1"/>
        <v>296.20689655172413</v>
      </c>
      <c r="I26" s="8" t="str">
        <f t="shared" si="2"/>
        <v>Fashion</v>
      </c>
      <c r="J26" s="18" t="s">
        <v>80</v>
      </c>
      <c r="K26" s="18" t="s">
        <v>31</v>
      </c>
      <c r="L26" s="18" t="s">
        <v>97</v>
      </c>
      <c r="M26" s="19">
        <v>3</v>
      </c>
      <c r="N26" s="19" t="s">
        <v>127</v>
      </c>
      <c r="O26" s="21" t="str">
        <f t="shared" si="3"/>
        <v>3-JUN</v>
      </c>
      <c r="P26" s="17" t="s">
        <v>138</v>
      </c>
      <c r="Q26" s="8" t="str">
        <f t="shared" si="4"/>
        <v>Sunglasses Ray-Ban</v>
      </c>
      <c r="R26" s="11">
        <v>296.20689659999999</v>
      </c>
      <c r="S26" s="13">
        <v>46176</v>
      </c>
    </row>
    <row r="27" spans="1:26" ht="15.75" customHeight="1" x14ac:dyDescent="0.25">
      <c r="A27" s="15" t="s">
        <v>99</v>
      </c>
      <c r="B27" s="15" t="s">
        <v>50</v>
      </c>
      <c r="C27" s="15" t="s">
        <v>100</v>
      </c>
      <c r="D27" s="15">
        <v>400</v>
      </c>
      <c r="E27" s="15">
        <v>40</v>
      </c>
      <c r="F27" s="15" t="s">
        <v>35</v>
      </c>
      <c r="G27" s="8" t="str">
        <f t="shared" si="0"/>
        <v>Available</v>
      </c>
      <c r="H27" s="8">
        <f t="shared" si="1"/>
        <v>400</v>
      </c>
      <c r="I27" s="8" t="str">
        <f t="shared" si="2"/>
        <v>Kitchen</v>
      </c>
      <c r="J27" s="15" t="s">
        <v>50</v>
      </c>
      <c r="K27" s="15" t="s">
        <v>35</v>
      </c>
      <c r="L27" s="15" t="s">
        <v>99</v>
      </c>
      <c r="M27" s="16">
        <v>11</v>
      </c>
      <c r="N27" s="16" t="s">
        <v>129</v>
      </c>
      <c r="O27" s="21" t="str">
        <f t="shared" si="3"/>
        <v>11-JUL</v>
      </c>
      <c r="P27" s="17" t="s">
        <v>138</v>
      </c>
      <c r="Q27" s="8" t="str">
        <f t="shared" si="4"/>
        <v>Blender Vitamix</v>
      </c>
      <c r="R27" s="10">
        <v>400</v>
      </c>
      <c r="S27" s="13">
        <v>46214</v>
      </c>
    </row>
    <row r="28" spans="1:26" ht="15.75" customHeight="1" x14ac:dyDescent="0.25">
      <c r="A28" s="18" t="s">
        <v>68</v>
      </c>
      <c r="B28" s="18" t="s">
        <v>69</v>
      </c>
      <c r="C28" s="18" t="s">
        <v>70</v>
      </c>
      <c r="D28" s="18">
        <v>250</v>
      </c>
      <c r="E28" s="18">
        <v>20</v>
      </c>
      <c r="F28" s="18" t="s">
        <v>45</v>
      </c>
      <c r="G28" s="8" t="str">
        <f t="shared" si="0"/>
        <v>Available</v>
      </c>
      <c r="H28" s="8">
        <f t="shared" si="1"/>
        <v>250</v>
      </c>
      <c r="I28" s="8" t="str">
        <f t="shared" si="2"/>
        <v>Electroni</v>
      </c>
      <c r="J28" s="18" t="s">
        <v>69</v>
      </c>
      <c r="K28" s="18" t="s">
        <v>45</v>
      </c>
      <c r="L28" s="18" t="s">
        <v>68</v>
      </c>
      <c r="M28" s="19">
        <v>16</v>
      </c>
      <c r="N28" s="19" t="s">
        <v>125</v>
      </c>
      <c r="O28" s="21" t="str">
        <f t="shared" si="3"/>
        <v>16-APR</v>
      </c>
      <c r="P28" s="17" t="s">
        <v>139</v>
      </c>
      <c r="Q28" s="8" t="str">
        <f t="shared" si="4"/>
        <v>headphones Bose</v>
      </c>
      <c r="R28" s="11">
        <v>250</v>
      </c>
      <c r="S28" s="13">
        <v>46128</v>
      </c>
    </row>
    <row r="29" spans="1:26" ht="15.75" customHeight="1" x14ac:dyDescent="0.25">
      <c r="A29" s="15" t="s">
        <v>101</v>
      </c>
      <c r="B29" s="15" t="s">
        <v>102</v>
      </c>
      <c r="C29" s="15" t="s">
        <v>103</v>
      </c>
      <c r="D29" s="15">
        <v>60</v>
      </c>
      <c r="E29" s="15">
        <v>30</v>
      </c>
      <c r="F29" s="15" t="s">
        <v>31</v>
      </c>
      <c r="G29" s="8" t="str">
        <f t="shared" si="0"/>
        <v>Available</v>
      </c>
      <c r="H29" s="8">
        <f t="shared" si="1"/>
        <v>60</v>
      </c>
      <c r="I29" s="8" t="str">
        <f t="shared" si="2"/>
        <v>Fashion</v>
      </c>
      <c r="J29" s="15" t="s">
        <v>102</v>
      </c>
      <c r="K29" s="15" t="s">
        <v>31</v>
      </c>
      <c r="L29" s="15" t="s">
        <v>101</v>
      </c>
      <c r="M29" s="16">
        <v>7</v>
      </c>
      <c r="N29" s="16" t="s">
        <v>124</v>
      </c>
      <c r="O29" s="21" t="str">
        <f t="shared" si="3"/>
        <v>7-MAR</v>
      </c>
      <c r="P29" s="17" t="s">
        <v>138</v>
      </c>
      <c r="Q29" s="8" t="str">
        <f t="shared" si="4"/>
        <v>Dress Zara</v>
      </c>
      <c r="R29" s="10">
        <v>60</v>
      </c>
      <c r="S29" s="13">
        <v>46088</v>
      </c>
    </row>
    <row r="30" spans="1:26" ht="15.75" customHeight="1" x14ac:dyDescent="0.25">
      <c r="A30" s="18" t="s">
        <v>104</v>
      </c>
      <c r="B30" s="18" t="s">
        <v>105</v>
      </c>
      <c r="C30" s="18" t="s">
        <v>106</v>
      </c>
      <c r="D30" s="18">
        <v>40</v>
      </c>
      <c r="E30" s="18">
        <v>10</v>
      </c>
      <c r="F30" s="18" t="s">
        <v>35</v>
      </c>
      <c r="G30" s="8" t="str">
        <f t="shared" si="0"/>
        <v>Available</v>
      </c>
      <c r="H30" s="8">
        <f t="shared" si="1"/>
        <v>40</v>
      </c>
      <c r="I30" s="8" t="str">
        <f t="shared" si="2"/>
        <v>Kitchen</v>
      </c>
      <c r="J30" s="18" t="s">
        <v>105</v>
      </c>
      <c r="K30" s="18" t="s">
        <v>35</v>
      </c>
      <c r="L30" s="18" t="s">
        <v>104</v>
      </c>
      <c r="M30" s="19">
        <v>13</v>
      </c>
      <c r="N30" s="19" t="s">
        <v>125</v>
      </c>
      <c r="O30" s="21" t="str">
        <f t="shared" si="3"/>
        <v>13-APR</v>
      </c>
      <c r="P30" s="17" t="s">
        <v>138</v>
      </c>
      <c r="Q30" s="8" t="str">
        <f t="shared" si="4"/>
        <v>Toaster Hamilton</v>
      </c>
      <c r="R30" s="11">
        <v>40</v>
      </c>
      <c r="S30" s="13">
        <v>46125</v>
      </c>
    </row>
    <row r="31" spans="1:26" ht="15.75" customHeight="1" x14ac:dyDescent="0.25">
      <c r="A31" s="15" t="s">
        <v>107</v>
      </c>
      <c r="B31" s="15" t="s">
        <v>92</v>
      </c>
      <c r="C31" s="15" t="s">
        <v>108</v>
      </c>
      <c r="D31" s="15">
        <v>130</v>
      </c>
      <c r="E31" s="15">
        <v>5</v>
      </c>
      <c r="F31" s="15" t="s">
        <v>27</v>
      </c>
      <c r="G31" s="8" t="str">
        <f t="shared" si="0"/>
        <v>Available</v>
      </c>
      <c r="H31" s="8">
        <f t="shared" si="1"/>
        <v>130</v>
      </c>
      <c r="I31" s="8" t="str">
        <f t="shared" si="2"/>
        <v>Electronics</v>
      </c>
      <c r="J31" s="15" t="s">
        <v>92</v>
      </c>
      <c r="K31" s="15" t="s">
        <v>27</v>
      </c>
      <c r="L31" s="15" t="s">
        <v>107</v>
      </c>
      <c r="M31" s="16">
        <v>24</v>
      </c>
      <c r="N31" s="16" t="s">
        <v>126</v>
      </c>
      <c r="O31" s="21" t="str">
        <f t="shared" si="3"/>
        <v>24-MAY</v>
      </c>
      <c r="P31" s="17" t="s">
        <v>138</v>
      </c>
      <c r="Q31" s="8" t="str">
        <f t="shared" si="4"/>
        <v>Fitness Tracker Garmin</v>
      </c>
      <c r="R31" s="10">
        <v>130</v>
      </c>
      <c r="S31" s="13">
        <v>46166</v>
      </c>
    </row>
    <row r="32" spans="1:26" ht="15.75" customHeight="1" x14ac:dyDescent="0.25">
      <c r="A32" s="18" t="s">
        <v>109</v>
      </c>
      <c r="B32" s="18" t="s">
        <v>110</v>
      </c>
      <c r="C32" s="18" t="s">
        <v>111</v>
      </c>
      <c r="D32" s="18">
        <v>50</v>
      </c>
      <c r="E32" s="18">
        <v>50</v>
      </c>
      <c r="F32" s="18" t="s">
        <v>31</v>
      </c>
      <c r="G32" s="8" t="str">
        <f t="shared" si="0"/>
        <v>Available</v>
      </c>
      <c r="H32" s="8">
        <f t="shared" si="1"/>
        <v>50</v>
      </c>
      <c r="I32" s="8" t="str">
        <f t="shared" si="2"/>
        <v>Fashion</v>
      </c>
      <c r="J32" s="18" t="s">
        <v>110</v>
      </c>
      <c r="K32" s="18" t="s">
        <v>31</v>
      </c>
      <c r="L32" s="18" t="s">
        <v>109</v>
      </c>
      <c r="M32" s="19">
        <v>2</v>
      </c>
      <c r="N32" s="19" t="s">
        <v>136</v>
      </c>
      <c r="O32" s="21" t="str">
        <f t="shared" si="3"/>
        <v>2-DEC</v>
      </c>
      <c r="P32" s="17" t="s">
        <v>138</v>
      </c>
      <c r="Q32" s="8" t="str">
        <f t="shared" si="4"/>
        <v>Jeans Levi's</v>
      </c>
      <c r="R32" s="11">
        <v>50</v>
      </c>
      <c r="S32" s="13">
        <v>46358</v>
      </c>
    </row>
    <row r="33" spans="1:19" ht="15.75" customHeight="1" x14ac:dyDescent="0.25">
      <c r="A33" s="18" t="s">
        <v>112</v>
      </c>
      <c r="B33" s="18" t="s">
        <v>113</v>
      </c>
      <c r="C33" s="18" t="s">
        <v>114</v>
      </c>
      <c r="D33" s="18">
        <v>100</v>
      </c>
      <c r="E33" s="18">
        <v>20</v>
      </c>
      <c r="F33" s="18" t="s">
        <v>74</v>
      </c>
      <c r="G33" s="8" t="str">
        <f t="shared" si="0"/>
        <v>Available</v>
      </c>
      <c r="H33" s="8">
        <f t="shared" si="1"/>
        <v>100</v>
      </c>
      <c r="I33" s="8" t="str">
        <f t="shared" si="2"/>
        <v>Accessories</v>
      </c>
      <c r="J33" s="18" t="s">
        <v>113</v>
      </c>
      <c r="K33" s="18" t="s">
        <v>74</v>
      </c>
      <c r="L33" s="18" t="s">
        <v>112</v>
      </c>
      <c r="M33" s="19">
        <v>9</v>
      </c>
      <c r="N33" s="19" t="s">
        <v>129</v>
      </c>
      <c r="O33" s="21" t="str">
        <f t="shared" si="3"/>
        <v>9-JUL</v>
      </c>
      <c r="P33" s="17" t="s">
        <v>144</v>
      </c>
      <c r="Q33" s="8" t="str">
        <f t="shared" si="4"/>
        <v>Watch Casio</v>
      </c>
      <c r="R33" s="11">
        <v>100</v>
      </c>
      <c r="S33" s="13">
        <v>46212</v>
      </c>
    </row>
    <row r="34" spans="1:19" ht="15.75" customHeight="1" x14ac:dyDescent="0.25"/>
    <row r="35" spans="1:19" ht="15.75" customHeight="1" x14ac:dyDescent="0.25"/>
    <row r="36" spans="1:19" ht="15.75" customHeight="1" x14ac:dyDescent="0.25">
      <c r="D36">
        <f>AVERAGE(D2:D35)</f>
        <v>296.20689655172413</v>
      </c>
    </row>
    <row r="37" spans="1:19" ht="15.75" customHeight="1" x14ac:dyDescent="0.25"/>
    <row r="38" spans="1:19" ht="15.75" customHeight="1" x14ac:dyDescent="0.25"/>
    <row r="39" spans="1:19" ht="15.75" customHeight="1" x14ac:dyDescent="0.25"/>
    <row r="40" spans="1:19" ht="15.75" customHeight="1" x14ac:dyDescent="0.25"/>
    <row r="41" spans="1:19" ht="15.75" customHeight="1" x14ac:dyDescent="0.3">
      <c r="H41" s="2" t="s">
        <v>1</v>
      </c>
      <c r="K41" s="5"/>
      <c r="L41" s="5"/>
    </row>
    <row r="42" spans="1:19" ht="15.75" customHeight="1" x14ac:dyDescent="0.3">
      <c r="H42" s="3" t="s">
        <v>2</v>
      </c>
      <c r="M42" t="s">
        <v>156</v>
      </c>
    </row>
    <row r="43" spans="1:19" ht="15.75" customHeight="1" x14ac:dyDescent="0.3">
      <c r="H43" s="3"/>
    </row>
    <row r="44" spans="1:19" ht="15.75" customHeight="1" x14ac:dyDescent="0.3">
      <c r="H44" s="3" t="s">
        <v>3</v>
      </c>
      <c r="M44" t="s">
        <v>157</v>
      </c>
    </row>
    <row r="45" spans="1:19" ht="15.75" customHeight="1" x14ac:dyDescent="0.25"/>
    <row r="46" spans="1:19" ht="15.75" customHeight="1" x14ac:dyDescent="0.3">
      <c r="H46" s="2" t="s">
        <v>4</v>
      </c>
    </row>
    <row r="47" spans="1:19" ht="15.75" customHeight="1" x14ac:dyDescent="0.25"/>
    <row r="48" spans="1:19" ht="15.75" customHeight="1" x14ac:dyDescent="0.3">
      <c r="H48" s="3" t="s">
        <v>5</v>
      </c>
      <c r="N48" t="s">
        <v>147</v>
      </c>
      <c r="O48" t="s">
        <v>158</v>
      </c>
    </row>
    <row r="49" spans="8:19" ht="15.75" customHeight="1" x14ac:dyDescent="0.3">
      <c r="H49" s="3" t="s">
        <v>6</v>
      </c>
      <c r="N49" t="s">
        <v>148</v>
      </c>
    </row>
    <row r="50" spans="8:19" ht="15.75" customHeight="1" x14ac:dyDescent="0.3">
      <c r="H50" s="3" t="s">
        <v>7</v>
      </c>
      <c r="O50" t="s">
        <v>159</v>
      </c>
    </row>
    <row r="51" spans="8:19" ht="15.75" customHeight="1" x14ac:dyDescent="0.25"/>
    <row r="52" spans="8:19" ht="15.75" customHeight="1" x14ac:dyDescent="0.3">
      <c r="H52" s="2" t="s">
        <v>8</v>
      </c>
      <c r="S52" s="14"/>
    </row>
    <row r="53" spans="8:19" ht="15.75" customHeight="1" x14ac:dyDescent="0.3">
      <c r="H53" s="2"/>
      <c r="I53" s="3" t="s">
        <v>9</v>
      </c>
      <c r="O53" t="s">
        <v>160</v>
      </c>
    </row>
    <row r="54" spans="8:19" ht="15.75" customHeight="1" x14ac:dyDescent="0.25"/>
    <row r="55" spans="8:19" ht="15.75" customHeight="1" x14ac:dyDescent="0.3">
      <c r="H55" s="2" t="s">
        <v>10</v>
      </c>
      <c r="I55" s="5"/>
      <c r="J55" s="5"/>
      <c r="K55" s="5"/>
      <c r="L55" s="5"/>
      <c r="M55" s="5"/>
      <c r="N55" s="5"/>
      <c r="O55" s="5"/>
      <c r="P55" s="5"/>
      <c r="Q55" s="5"/>
    </row>
    <row r="56" spans="8:19" ht="15.75" customHeight="1" x14ac:dyDescent="0.3">
      <c r="H56" s="5"/>
      <c r="I56" s="3" t="s">
        <v>11</v>
      </c>
      <c r="J56" s="5"/>
      <c r="K56" s="5"/>
      <c r="L56" s="5"/>
      <c r="M56" s="5"/>
      <c r="N56" s="5"/>
      <c r="O56" s="5" t="s">
        <v>162</v>
      </c>
      <c r="P56" s="5"/>
      <c r="Q56" s="5"/>
    </row>
    <row r="57" spans="8:19" ht="15.75" customHeight="1" x14ac:dyDescent="0.3">
      <c r="H57" s="5"/>
      <c r="I57" s="3" t="s">
        <v>12</v>
      </c>
      <c r="J57" s="5"/>
      <c r="K57" s="5"/>
      <c r="L57" s="5"/>
      <c r="M57" s="5"/>
      <c r="N57" s="5"/>
      <c r="O57" s="14" t="s">
        <v>163</v>
      </c>
      <c r="P57" s="5"/>
      <c r="Q57" s="5"/>
    </row>
    <row r="58" spans="8:19" ht="15.75" customHeight="1" x14ac:dyDescent="0.25"/>
    <row r="59" spans="8:19" ht="15.75" customHeight="1" x14ac:dyDescent="0.3">
      <c r="H59" s="2" t="s">
        <v>13</v>
      </c>
      <c r="I59" s="5"/>
      <c r="J59" s="5"/>
    </row>
    <row r="60" spans="8:19" ht="15.75" customHeight="1" x14ac:dyDescent="0.3">
      <c r="H60" s="3" t="s">
        <v>14</v>
      </c>
      <c r="I60" s="5"/>
      <c r="J60" s="5"/>
      <c r="K60" s="5"/>
      <c r="L60" s="5"/>
      <c r="M60" s="14" t="s">
        <v>155</v>
      </c>
      <c r="N60" s="5"/>
    </row>
    <row r="61" spans="8:19" ht="15.75" customHeight="1" x14ac:dyDescent="0.3">
      <c r="H61" s="3" t="s">
        <v>15</v>
      </c>
      <c r="I61" s="5"/>
      <c r="J61" s="5"/>
      <c r="K61" s="5"/>
      <c r="L61" s="5"/>
      <c r="M61" s="14" t="s">
        <v>154</v>
      </c>
      <c r="N61" s="5"/>
    </row>
    <row r="62" spans="8:19" ht="15.75" customHeight="1" x14ac:dyDescent="0.25">
      <c r="H62" s="5"/>
      <c r="I62" s="5"/>
      <c r="J62" s="5"/>
      <c r="K62" s="5"/>
      <c r="L62" s="5"/>
      <c r="M62" s="5"/>
      <c r="N62" s="5"/>
    </row>
    <row r="63" spans="8:19" ht="15.75" customHeight="1" x14ac:dyDescent="0.25"/>
    <row r="64" spans="8:19" ht="15.75" customHeight="1" x14ac:dyDescent="0.25"/>
    <row r="65" spans="8:16" ht="15.75" customHeight="1" x14ac:dyDescent="0.3">
      <c r="H65" s="2" t="s">
        <v>16</v>
      </c>
      <c r="I65" s="5"/>
      <c r="J65" s="5"/>
    </row>
    <row r="66" spans="8:16" ht="15.75" customHeight="1" x14ac:dyDescent="0.25"/>
    <row r="67" spans="8:16" ht="15.75" customHeight="1" x14ac:dyDescent="0.3">
      <c r="H67" s="3" t="s">
        <v>17</v>
      </c>
      <c r="I67" s="5"/>
      <c r="J67" s="5"/>
      <c r="K67" s="5"/>
      <c r="L67" s="5"/>
      <c r="M67" s="14" t="s">
        <v>164</v>
      </c>
    </row>
    <row r="68" spans="8:16" ht="15.75" customHeight="1" x14ac:dyDescent="0.3">
      <c r="H68" s="3" t="s">
        <v>18</v>
      </c>
      <c r="I68" s="5"/>
      <c r="J68" s="5"/>
      <c r="K68" s="5"/>
      <c r="L68" s="5"/>
      <c r="M68" s="14" t="s">
        <v>165</v>
      </c>
      <c r="N68" s="5"/>
      <c r="O68" s="5"/>
      <c r="P68" s="5"/>
    </row>
    <row r="69" spans="8:16" ht="15.75" customHeight="1" x14ac:dyDescent="0.25"/>
    <row r="70" spans="8:16" ht="15.75" customHeight="1" x14ac:dyDescent="0.25"/>
    <row r="71" spans="8:16" ht="15.75" customHeight="1" x14ac:dyDescent="0.25"/>
    <row r="72" spans="8:16" ht="15.75" customHeight="1" x14ac:dyDescent="0.25"/>
    <row r="73" spans="8:16" ht="15.75" customHeight="1" x14ac:dyDescent="0.25"/>
    <row r="74" spans="8:16" ht="15.75" customHeight="1" x14ac:dyDescent="0.25"/>
    <row r="75" spans="8:16" ht="15.75" customHeight="1" x14ac:dyDescent="0.25"/>
    <row r="76" spans="8:16" ht="15.75" customHeight="1" x14ac:dyDescent="0.25"/>
    <row r="77" spans="8:16" ht="15.75" customHeight="1" x14ac:dyDescent="0.25"/>
    <row r="78" spans="8:16" ht="15.75" customHeight="1" x14ac:dyDescent="0.25"/>
    <row r="79" spans="8:16" ht="15.75" customHeight="1" x14ac:dyDescent="0.25"/>
    <row r="80" spans="8:1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K2:K33">
    <cfRule type="expression" dxfId="0" priority="2">
      <formula>$K2="Electronics"</formula>
    </cfRule>
  </conditionalFormatting>
  <conditionalFormatting sqref="R2:R3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{E08389F4-5AA0-4D2E-AE16-21A9A1C84480}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8389F4-5AA0-4D2E-AE16-21A9A1C84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R2:R33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1065-951E-4EE8-BA04-42E3086E976D}">
  <dimension ref="A1:A33"/>
  <sheetViews>
    <sheetView workbookViewId="0">
      <selection activeCell="A2" sqref="A2:A33"/>
    </sheetView>
  </sheetViews>
  <sheetFormatPr defaultRowHeight="13.2" x14ac:dyDescent="0.25"/>
  <cols>
    <col min="1" max="1" width="21.88671875" customWidth="1"/>
  </cols>
  <sheetData>
    <row r="1" spans="1:1" x14ac:dyDescent="0.25">
      <c r="A1" s="7" t="s">
        <v>150</v>
      </c>
    </row>
    <row r="2" spans="1:1" x14ac:dyDescent="0.25">
      <c r="A2" s="15" t="s">
        <v>24</v>
      </c>
    </row>
    <row r="3" spans="1:1" x14ac:dyDescent="0.25">
      <c r="A3" s="18" t="s">
        <v>28</v>
      </c>
    </row>
    <row r="4" spans="1:1" x14ac:dyDescent="0.25">
      <c r="A4" s="15" t="s">
        <v>32</v>
      </c>
    </row>
    <row r="5" spans="1:1" x14ac:dyDescent="0.25">
      <c r="A5" s="18" t="s">
        <v>36</v>
      </c>
    </row>
    <row r="6" spans="1:1" x14ac:dyDescent="0.25">
      <c r="A6" s="15" t="s">
        <v>39</v>
      </c>
    </row>
    <row r="7" spans="1:1" x14ac:dyDescent="0.25">
      <c r="A7" s="18" t="s">
        <v>42</v>
      </c>
    </row>
    <row r="8" spans="1:1" x14ac:dyDescent="0.25">
      <c r="A8" s="15" t="s">
        <v>46</v>
      </c>
    </row>
    <row r="9" spans="1:1" x14ac:dyDescent="0.25">
      <c r="A9" s="18" t="s">
        <v>49</v>
      </c>
    </row>
    <row r="10" spans="1:1" x14ac:dyDescent="0.25">
      <c r="A10" s="15" t="s">
        <v>52</v>
      </c>
    </row>
    <row r="11" spans="1:1" x14ac:dyDescent="0.25">
      <c r="A11" s="18" t="s">
        <v>55</v>
      </c>
    </row>
    <row r="12" spans="1:1" x14ac:dyDescent="0.25">
      <c r="A12" s="15" t="s">
        <v>59</v>
      </c>
    </row>
    <row r="13" spans="1:1" x14ac:dyDescent="0.25">
      <c r="A13" s="18" t="s">
        <v>62</v>
      </c>
    </row>
    <row r="14" spans="1:1" x14ac:dyDescent="0.25">
      <c r="A14" s="15" t="s">
        <v>63</v>
      </c>
    </row>
    <row r="15" spans="1:1" x14ac:dyDescent="0.25">
      <c r="A15" s="18" t="s">
        <v>65</v>
      </c>
    </row>
    <row r="16" spans="1:1" x14ac:dyDescent="0.25">
      <c r="A16" s="15" t="s">
        <v>68</v>
      </c>
    </row>
    <row r="17" spans="1:1" x14ac:dyDescent="0.25">
      <c r="A17" s="18" t="s">
        <v>71</v>
      </c>
    </row>
    <row r="18" spans="1:1" x14ac:dyDescent="0.25">
      <c r="A18" s="15" t="s">
        <v>75</v>
      </c>
    </row>
    <row r="19" spans="1:1" x14ac:dyDescent="0.25">
      <c r="A19" s="18" t="s">
        <v>77</v>
      </c>
    </row>
    <row r="20" spans="1:1" x14ac:dyDescent="0.25">
      <c r="A20" s="15" t="s">
        <v>79</v>
      </c>
    </row>
    <row r="21" spans="1:1" x14ac:dyDescent="0.25">
      <c r="A21" s="18" t="s">
        <v>82</v>
      </c>
    </row>
    <row r="22" spans="1:1" x14ac:dyDescent="0.25">
      <c r="A22" s="15" t="s">
        <v>85</v>
      </c>
    </row>
    <row r="23" spans="1:1" x14ac:dyDescent="0.25">
      <c r="A23" s="18" t="s">
        <v>88</v>
      </c>
    </row>
    <row r="24" spans="1:1" x14ac:dyDescent="0.25">
      <c r="A24" s="15" t="s">
        <v>91</v>
      </c>
    </row>
    <row r="25" spans="1:1" x14ac:dyDescent="0.25">
      <c r="A25" s="15" t="s">
        <v>94</v>
      </c>
    </row>
    <row r="26" spans="1:1" x14ac:dyDescent="0.25">
      <c r="A26" s="18" t="s">
        <v>97</v>
      </c>
    </row>
    <row r="27" spans="1:1" x14ac:dyDescent="0.25">
      <c r="A27" s="15" t="s">
        <v>99</v>
      </c>
    </row>
    <row r="28" spans="1:1" x14ac:dyDescent="0.25">
      <c r="A28" s="18" t="s">
        <v>68</v>
      </c>
    </row>
    <row r="29" spans="1:1" x14ac:dyDescent="0.25">
      <c r="A29" s="15" t="s">
        <v>101</v>
      </c>
    </row>
    <row r="30" spans="1:1" x14ac:dyDescent="0.25">
      <c r="A30" s="18" t="s">
        <v>104</v>
      </c>
    </row>
    <row r="31" spans="1:1" x14ac:dyDescent="0.25">
      <c r="A31" s="15" t="s">
        <v>107</v>
      </c>
    </row>
    <row r="32" spans="1:1" x14ac:dyDescent="0.25">
      <c r="A32" s="18" t="s">
        <v>109</v>
      </c>
    </row>
    <row r="33" spans="1:1" x14ac:dyDescent="0.25">
      <c r="A33" s="1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Solamon M</cp:lastModifiedBy>
  <dcterms:modified xsi:type="dcterms:W3CDTF">2026-10-15T17:29:28Z</dcterms:modified>
</cp:coreProperties>
</file>